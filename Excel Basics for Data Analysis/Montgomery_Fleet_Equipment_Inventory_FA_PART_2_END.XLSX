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FB52A8CC-5EFA-4435-A4FA-CA99743B5DB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ivotTable" sheetId="2" r:id="rId1"/>
    <sheet name="PivotTable (2)" sheetId="4" r:id="rId2"/>
    <sheet name="PivotTable (3)" sheetId="5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<sst xmlns="http://schemas.openxmlformats.org/spreadsheetml/2006/main" count="165" uniqueCount="36">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</sst>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Hafizul" refreshedDate="44598.749467476853" createdVersion="7" refreshedVersion="7" minRefreshableVersion="3" recordCount="49" xr:uid="{5F630551-91D8-4CBA-8EAF-5928B4F6DFB9}">
  <cacheSource type="worksheet">
    <worksheetSource name="Table3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C8767-54BD-4A23-BF12-70E9C4E855D5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D4139-D5F1-4710-AEAC-854F0A9D9E10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6FADC-270F-45D9-8876-16BD69383141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AD2D89-5811-4629-8249-0BCE84CA7AC0}" name="Table3" displayName="Table3" ref="A1:C50" totalsRowShown="0">
  <autoFilter ref="A1:C50" xr:uid="{48AD2D89-5811-4629-8249-0BCE84CA7AC0}"/>
  <tableColumns count="3">
    <tableColumn id="1" xr3:uid="{FE0FE101-BA19-4E4D-8DBB-9379E48CCCB7}" name="Department"/>
    <tableColumn id="2" xr3:uid="{C2652ADA-D8EE-4252-BF64-80C9467608B1}" name="Equipment Class"/>
    <tableColumn id="3" xr3:uid="{26369166-BC2F-417B-AFE7-6283F9F8E29C}" name="Equipment Count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3405-8643-4B07-B1CA-91056657B891}">
  <dimension ref="A3:B16"/>
  <sheetViews>
    <sheetView workbookViewId="0">
      <selection activeCell="B4" sqref="B4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1" t="s">
        <v>33</v>
      </c>
      <c r="B3" t="s">
        <v>35</v>
      </c>
    </row>
    <row r="4" spans="1:2" x14ac:dyDescent="0.3">
      <c r="A4" s="2" t="s">
        <v>26</v>
      </c>
      <c r="B4" s="3">
        <v>1221</v>
      </c>
    </row>
    <row r="5" spans="1:2" x14ac:dyDescent="0.3">
      <c r="A5" s="2" t="s">
        <v>15</v>
      </c>
      <c r="B5" s="3">
        <v>109</v>
      </c>
    </row>
    <row r="6" spans="1:2" x14ac:dyDescent="0.3">
      <c r="A6" s="2" t="s">
        <v>19</v>
      </c>
      <c r="B6" s="3">
        <v>85</v>
      </c>
    </row>
    <row r="7" spans="1:2" x14ac:dyDescent="0.3">
      <c r="A7" s="2" t="s">
        <v>12</v>
      </c>
      <c r="B7" s="3">
        <v>56</v>
      </c>
    </row>
    <row r="8" spans="1:2" x14ac:dyDescent="0.3">
      <c r="A8" s="2" t="s">
        <v>5</v>
      </c>
      <c r="B8" s="3">
        <v>45</v>
      </c>
    </row>
    <row r="9" spans="1:2" x14ac:dyDescent="0.3">
      <c r="A9" s="2" t="s">
        <v>18</v>
      </c>
      <c r="B9" s="3">
        <v>35</v>
      </c>
    </row>
    <row r="10" spans="1:2" x14ac:dyDescent="0.3">
      <c r="A10" s="2" t="s">
        <v>25</v>
      </c>
      <c r="B10" s="3">
        <v>16</v>
      </c>
    </row>
    <row r="11" spans="1:2" x14ac:dyDescent="0.3">
      <c r="A11" s="2" t="s">
        <v>9</v>
      </c>
      <c r="B11" s="3">
        <v>6</v>
      </c>
    </row>
    <row r="12" spans="1:2" x14ac:dyDescent="0.3">
      <c r="A12" s="2" t="s">
        <v>24</v>
      </c>
      <c r="B12" s="3">
        <v>5</v>
      </c>
    </row>
    <row r="13" spans="1:2" x14ac:dyDescent="0.3">
      <c r="A13" s="2" t="s">
        <v>8</v>
      </c>
      <c r="B13" s="3">
        <v>2</v>
      </c>
    </row>
    <row r="14" spans="1:2" x14ac:dyDescent="0.3">
      <c r="A14" s="2" t="s">
        <v>14</v>
      </c>
      <c r="B14" s="3">
        <v>1</v>
      </c>
    </row>
    <row r="15" spans="1:2" x14ac:dyDescent="0.3">
      <c r="A15" s="2" t="s">
        <v>17</v>
      </c>
      <c r="B15" s="3">
        <v>1</v>
      </c>
    </row>
    <row r="16" spans="1:2" x14ac:dyDescent="0.3">
      <c r="A16" s="2" t="s">
        <v>34</v>
      </c>
      <c r="B16" s="3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59A3-52E5-4134-96B2-A900793A9159}">
  <dimension ref="A3:B25"/>
  <sheetViews>
    <sheetView workbookViewId="0">
      <selection activeCell="A4" sqref="A4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1" t="s">
        <v>33</v>
      </c>
      <c r="B3" t="s">
        <v>35</v>
      </c>
    </row>
    <row r="4" spans="1:2" x14ac:dyDescent="0.3">
      <c r="A4" s="2" t="s">
        <v>26</v>
      </c>
      <c r="B4" s="3">
        <v>1221</v>
      </c>
    </row>
    <row r="5" spans="1:2" x14ac:dyDescent="0.3">
      <c r="A5" s="4" t="s">
        <v>16</v>
      </c>
      <c r="B5" s="3">
        <v>5</v>
      </c>
    </row>
    <row r="6" spans="1:2" x14ac:dyDescent="0.3">
      <c r="A6" s="4" t="s">
        <v>13</v>
      </c>
      <c r="B6" s="3">
        <v>248</v>
      </c>
    </row>
    <row r="7" spans="1:2" x14ac:dyDescent="0.3">
      <c r="A7" s="4" t="s">
        <v>11</v>
      </c>
      <c r="B7" s="3">
        <v>98</v>
      </c>
    </row>
    <row r="8" spans="1:2" x14ac:dyDescent="0.3">
      <c r="A8" s="4" t="s">
        <v>28</v>
      </c>
      <c r="B8" s="3">
        <v>276</v>
      </c>
    </row>
    <row r="9" spans="1:2" x14ac:dyDescent="0.3">
      <c r="A9" s="4" t="s">
        <v>6</v>
      </c>
      <c r="B9" s="3">
        <v>93</v>
      </c>
    </row>
    <row r="10" spans="1:2" x14ac:dyDescent="0.3">
      <c r="A10" s="4" t="s">
        <v>4</v>
      </c>
      <c r="B10" s="3">
        <v>37</v>
      </c>
    </row>
    <row r="11" spans="1:2" x14ac:dyDescent="0.3">
      <c r="A11" s="4" t="s">
        <v>7</v>
      </c>
      <c r="B11" s="3">
        <v>53</v>
      </c>
    </row>
    <row r="12" spans="1:2" x14ac:dyDescent="0.3">
      <c r="A12" s="4" t="s">
        <v>27</v>
      </c>
      <c r="B12" s="3">
        <v>379</v>
      </c>
    </row>
    <row r="13" spans="1:2" x14ac:dyDescent="0.3">
      <c r="A13" s="4" t="s">
        <v>10</v>
      </c>
      <c r="B13" s="3">
        <v>32</v>
      </c>
    </row>
    <row r="14" spans="1:2" x14ac:dyDescent="0.3">
      <c r="A14" s="2" t="s">
        <v>15</v>
      </c>
      <c r="B14" s="3">
        <v>109</v>
      </c>
    </row>
    <row r="15" spans="1:2" x14ac:dyDescent="0.3">
      <c r="A15" s="2" t="s">
        <v>19</v>
      </c>
      <c r="B15" s="3">
        <v>85</v>
      </c>
    </row>
    <row r="16" spans="1:2" x14ac:dyDescent="0.3">
      <c r="A16" s="2" t="s">
        <v>12</v>
      </c>
      <c r="B16" s="3">
        <v>56</v>
      </c>
    </row>
    <row r="17" spans="1:2" x14ac:dyDescent="0.3">
      <c r="A17" s="2" t="s">
        <v>5</v>
      </c>
      <c r="B17" s="3">
        <v>45</v>
      </c>
    </row>
    <row r="18" spans="1:2" x14ac:dyDescent="0.3">
      <c r="A18" s="2" t="s">
        <v>18</v>
      </c>
      <c r="B18" s="3">
        <v>35</v>
      </c>
    </row>
    <row r="19" spans="1:2" x14ac:dyDescent="0.3">
      <c r="A19" s="2" t="s">
        <v>25</v>
      </c>
      <c r="B19" s="3">
        <v>16</v>
      </c>
    </row>
    <row r="20" spans="1:2" x14ac:dyDescent="0.3">
      <c r="A20" s="2" t="s">
        <v>9</v>
      </c>
      <c r="B20" s="3">
        <v>6</v>
      </c>
    </row>
    <row r="21" spans="1:2" x14ac:dyDescent="0.3">
      <c r="A21" s="2" t="s">
        <v>24</v>
      </c>
      <c r="B21" s="3">
        <v>5</v>
      </c>
    </row>
    <row r="22" spans="1:2" x14ac:dyDescent="0.3">
      <c r="A22" s="2" t="s">
        <v>8</v>
      </c>
      <c r="B22" s="3">
        <v>2</v>
      </c>
    </row>
    <row r="23" spans="1:2" x14ac:dyDescent="0.3">
      <c r="A23" s="2" t="s">
        <v>14</v>
      </c>
      <c r="B23" s="3">
        <v>1</v>
      </c>
    </row>
    <row r="24" spans="1:2" x14ac:dyDescent="0.3">
      <c r="A24" s="2" t="s">
        <v>17</v>
      </c>
      <c r="B24" s="3">
        <v>1</v>
      </c>
    </row>
    <row r="25" spans="1:2" x14ac:dyDescent="0.3">
      <c r="A25" s="2" t="s">
        <v>34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5989-8254-4642-AE92-0C99A4D840DB}">
  <dimension ref="A3:B21"/>
  <sheetViews>
    <sheetView tabSelected="1" workbookViewId="0">
      <selection activeCell="A4" sqref="A4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1" t="s">
        <v>33</v>
      </c>
      <c r="B3" t="s">
        <v>35</v>
      </c>
    </row>
    <row r="4" spans="1:2" x14ac:dyDescent="0.3">
      <c r="A4" s="2" t="s">
        <v>16</v>
      </c>
      <c r="B4" s="3">
        <v>15</v>
      </c>
    </row>
    <row r="5" spans="1:2" x14ac:dyDescent="0.3">
      <c r="A5" s="4" t="s">
        <v>15</v>
      </c>
      <c r="B5" s="3">
        <v>9</v>
      </c>
    </row>
    <row r="6" spans="1:2" x14ac:dyDescent="0.3">
      <c r="A6" s="4" t="s">
        <v>26</v>
      </c>
      <c r="B6" s="3">
        <v>5</v>
      </c>
    </row>
    <row r="7" spans="1:2" x14ac:dyDescent="0.3">
      <c r="A7" s="4" t="s">
        <v>25</v>
      </c>
      <c r="B7" s="3">
        <v>1</v>
      </c>
    </row>
    <row r="8" spans="1:2" x14ac:dyDescent="0.3">
      <c r="A8" s="2" t="s">
        <v>13</v>
      </c>
      <c r="B8" s="3">
        <v>290</v>
      </c>
    </row>
    <row r="9" spans="1:2" x14ac:dyDescent="0.3">
      <c r="A9" s="2" t="s">
        <v>11</v>
      </c>
      <c r="B9" s="3">
        <v>100</v>
      </c>
    </row>
    <row r="10" spans="1:2" x14ac:dyDescent="0.3">
      <c r="A10" s="2" t="s">
        <v>28</v>
      </c>
      <c r="B10" s="3">
        <v>283</v>
      </c>
    </row>
    <row r="11" spans="1:2" x14ac:dyDescent="0.3">
      <c r="A11" s="2" t="s">
        <v>6</v>
      </c>
      <c r="B11" s="3">
        <v>150</v>
      </c>
    </row>
    <row r="12" spans="1:2" x14ac:dyDescent="0.3">
      <c r="A12" s="2" t="s">
        <v>21</v>
      </c>
      <c r="B12" s="3">
        <v>4</v>
      </c>
    </row>
    <row r="13" spans="1:2" x14ac:dyDescent="0.3">
      <c r="A13" s="2" t="s">
        <v>23</v>
      </c>
      <c r="B13" s="3">
        <v>1</v>
      </c>
    </row>
    <row r="14" spans="1:2" x14ac:dyDescent="0.3">
      <c r="A14" s="2" t="s">
        <v>22</v>
      </c>
      <c r="B14" s="3">
        <v>47</v>
      </c>
    </row>
    <row r="15" spans="1:2" x14ac:dyDescent="0.3">
      <c r="A15" s="2" t="s">
        <v>3</v>
      </c>
      <c r="B15" s="3">
        <v>20</v>
      </c>
    </row>
    <row r="16" spans="1:2" x14ac:dyDescent="0.3">
      <c r="A16" s="2" t="s">
        <v>20</v>
      </c>
      <c r="B16" s="3">
        <v>8</v>
      </c>
    </row>
    <row r="17" spans="1:2" x14ac:dyDescent="0.3">
      <c r="A17" s="2" t="s">
        <v>4</v>
      </c>
      <c r="B17" s="3">
        <v>130</v>
      </c>
    </row>
    <row r="18" spans="1:2" x14ac:dyDescent="0.3">
      <c r="A18" s="2" t="s">
        <v>7</v>
      </c>
      <c r="B18" s="3">
        <v>90</v>
      </c>
    </row>
    <row r="19" spans="1:2" x14ac:dyDescent="0.3">
      <c r="A19" s="2" t="s">
        <v>27</v>
      </c>
      <c r="B19" s="3">
        <v>379</v>
      </c>
    </row>
    <row r="20" spans="1:2" x14ac:dyDescent="0.3">
      <c r="A20" s="2" t="s">
        <v>10</v>
      </c>
      <c r="B20" s="3">
        <v>65</v>
      </c>
    </row>
    <row r="21" spans="1:2" x14ac:dyDescent="0.3">
      <c r="A21" s="2" t="s">
        <v>34</v>
      </c>
      <c r="B21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opLeftCell="A31" workbookViewId="0">
      <selection activeCell="A2" sqref="A2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 t="s">
        <v>5</v>
      </c>
      <c r="B2" t="s">
        <v>6</v>
      </c>
      <c r="C2">
        <v>21</v>
      </c>
      <c r="E2" t="s">
        <v>32</v>
      </c>
      <c r="F2">
        <f>SUM(Table3[Equipment Count])</f>
        <v>1582</v>
      </c>
    </row>
    <row r="3" spans="1:6" x14ac:dyDescent="0.3">
      <c r="A3" t="s">
        <v>5</v>
      </c>
      <c r="B3" t="s">
        <v>7</v>
      </c>
      <c r="C3">
        <v>1</v>
      </c>
      <c r="E3" t="s">
        <v>29</v>
      </c>
      <c r="F3">
        <f>AVERAGE(Table3[Equipment Count])</f>
        <v>32.285714285714285</v>
      </c>
    </row>
    <row r="4" spans="1:6" x14ac:dyDescent="0.3">
      <c r="A4" t="s">
        <v>5</v>
      </c>
      <c r="B4" t="s">
        <v>4</v>
      </c>
      <c r="C4">
        <v>23</v>
      </c>
      <c r="E4" t="s">
        <v>30</v>
      </c>
      <c r="F4">
        <f>MIN(Table3[Equipment Count])</f>
        <v>1</v>
      </c>
    </row>
    <row r="5" spans="1:6" x14ac:dyDescent="0.3">
      <c r="A5" t="s">
        <v>8</v>
      </c>
      <c r="B5" t="s">
        <v>4</v>
      </c>
      <c r="C5">
        <v>2</v>
      </c>
      <c r="E5" t="s">
        <v>31</v>
      </c>
      <c r="F5">
        <f>MAX(Table3[Equipment Count])</f>
        <v>379</v>
      </c>
    </row>
    <row r="6" spans="1:6" x14ac:dyDescent="0.3">
      <c r="A6" t="s">
        <v>9</v>
      </c>
      <c r="B6" t="s">
        <v>6</v>
      </c>
      <c r="C6">
        <v>3</v>
      </c>
      <c r="E6" t="s">
        <v>32</v>
      </c>
      <c r="F6">
        <f>COUNT(Table3[Equipment Count])</f>
        <v>49</v>
      </c>
    </row>
    <row r="7" spans="1:6" x14ac:dyDescent="0.3">
      <c r="A7" t="s">
        <v>9</v>
      </c>
      <c r="B7" t="s">
        <v>10</v>
      </c>
      <c r="C7">
        <v>2</v>
      </c>
    </row>
    <row r="8" spans="1:6" x14ac:dyDescent="0.3">
      <c r="A8" t="s">
        <v>9</v>
      </c>
      <c r="B8" t="s">
        <v>11</v>
      </c>
      <c r="C8">
        <v>1</v>
      </c>
    </row>
    <row r="9" spans="1:6" x14ac:dyDescent="0.3">
      <c r="A9" t="s">
        <v>12</v>
      </c>
      <c r="B9" t="s">
        <v>10</v>
      </c>
      <c r="C9">
        <v>2</v>
      </c>
    </row>
    <row r="10" spans="1:6" x14ac:dyDescent="0.3">
      <c r="A10" t="s">
        <v>12</v>
      </c>
      <c r="B10" t="s">
        <v>13</v>
      </c>
      <c r="C10">
        <v>42</v>
      </c>
    </row>
    <row r="11" spans="1:6" x14ac:dyDescent="0.3">
      <c r="A11" t="s">
        <v>12</v>
      </c>
      <c r="B11" t="s">
        <v>7</v>
      </c>
      <c r="C11">
        <v>1</v>
      </c>
    </row>
    <row r="12" spans="1:6" x14ac:dyDescent="0.3">
      <c r="A12" t="s">
        <v>12</v>
      </c>
      <c r="B12" t="s">
        <v>4</v>
      </c>
      <c r="C12">
        <v>11</v>
      </c>
    </row>
    <row r="13" spans="1:6" x14ac:dyDescent="0.3">
      <c r="A13" t="s">
        <v>14</v>
      </c>
      <c r="B13" t="s">
        <v>7</v>
      </c>
      <c r="C13">
        <v>1</v>
      </c>
    </row>
    <row r="14" spans="1:6" x14ac:dyDescent="0.3">
      <c r="A14" t="s">
        <v>15</v>
      </c>
      <c r="B14" t="s">
        <v>16</v>
      </c>
      <c r="C14">
        <v>9</v>
      </c>
    </row>
    <row r="15" spans="1:6" x14ac:dyDescent="0.3">
      <c r="A15" t="s">
        <v>15</v>
      </c>
      <c r="B15" t="s">
        <v>7</v>
      </c>
      <c r="C15">
        <v>27</v>
      </c>
    </row>
    <row r="16" spans="1:6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PivotTable</vt:lpstr>
      <vt:lpstr>PivotTable (2)</vt:lpstr>
      <vt:lpstr>PivotTable (3)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 Hafizul</cp:lastModifiedBy>
  <dcterms:created xsi:type="dcterms:W3CDTF">2020-09-01T17:18:12Z</dcterms:created>
  <dcterms:modified xsi:type="dcterms:W3CDTF">2022-02-06T10:08:04Z</dcterms:modified>
</cp:coreProperties>
</file>